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NeuroTNBC文章相关内容\PCR\"/>
    </mc:Choice>
  </mc:AlternateContent>
  <xr:revisionPtr revIDLastSave="0" documentId="13_ncr:1_{C2EDF932-8675-4448-BCD7-F488C75E97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1_Individual_qPCR" sheetId="1" r:id="rId1"/>
    <sheet name="Summary" sheetId="2" r:id="rId2"/>
    <sheet name="S2_Technical_QC" sheetId="3" r:id="rId3"/>
    <sheet name="Read_me" sheetId="4" r:id="rId4"/>
  </sheets>
  <calcPr calcId="191029"/>
</workbook>
</file>

<file path=xl/calcChain.xml><?xml version="1.0" encoding="utf-8"?>
<calcChain xmlns="http://schemas.openxmlformats.org/spreadsheetml/2006/main">
  <c r="H4" i="1" l="1"/>
  <c r="M25" i="1"/>
  <c r="L25" i="1"/>
  <c r="N25" i="1" s="1"/>
  <c r="O25" i="1" s="1"/>
  <c r="P25" i="1" s="1"/>
  <c r="H25" i="1"/>
  <c r="G25" i="1"/>
  <c r="M24" i="1"/>
  <c r="L24" i="1"/>
  <c r="N24" i="1" s="1"/>
  <c r="O24" i="1" s="1"/>
  <c r="P24" i="1" s="1"/>
  <c r="H24" i="1"/>
  <c r="G24" i="1"/>
  <c r="N23" i="1"/>
  <c r="O23" i="1" s="1"/>
  <c r="P23" i="1" s="1"/>
  <c r="M23" i="1"/>
  <c r="L23" i="1"/>
  <c r="H23" i="1"/>
  <c r="G23" i="1"/>
  <c r="O22" i="1"/>
  <c r="P22" i="1" s="1"/>
  <c r="N22" i="1"/>
  <c r="M22" i="1"/>
  <c r="L22" i="1"/>
  <c r="H22" i="1"/>
  <c r="G22" i="1"/>
  <c r="M21" i="1"/>
  <c r="L21" i="1"/>
  <c r="N21" i="1" s="1"/>
  <c r="O21" i="1" s="1"/>
  <c r="P21" i="1" s="1"/>
  <c r="H21" i="1"/>
  <c r="G21" i="1"/>
  <c r="M20" i="1"/>
  <c r="L20" i="1"/>
  <c r="N20" i="1" s="1"/>
  <c r="O20" i="1" s="1"/>
  <c r="P20" i="1" s="1"/>
  <c r="H20" i="1"/>
  <c r="G20" i="1"/>
  <c r="M19" i="1"/>
  <c r="L19" i="1"/>
  <c r="N19" i="1" s="1"/>
  <c r="O19" i="1" s="1"/>
  <c r="P19" i="1" s="1"/>
  <c r="H19" i="1"/>
  <c r="G19" i="1"/>
  <c r="M18" i="1"/>
  <c r="L18" i="1"/>
  <c r="N18" i="1" s="1"/>
  <c r="O18" i="1" s="1"/>
  <c r="P18" i="1" s="1"/>
  <c r="H18" i="1"/>
  <c r="G18" i="1"/>
  <c r="M17" i="1"/>
  <c r="L17" i="1"/>
  <c r="N17" i="1" s="1"/>
  <c r="O17" i="1" s="1"/>
  <c r="P17" i="1" s="1"/>
  <c r="H17" i="1"/>
  <c r="G17" i="1"/>
  <c r="M16" i="1"/>
  <c r="L16" i="1"/>
  <c r="N16" i="1" s="1"/>
  <c r="O16" i="1" s="1"/>
  <c r="P16" i="1" s="1"/>
  <c r="H16" i="1"/>
  <c r="G16" i="1"/>
  <c r="O15" i="1"/>
  <c r="P15" i="1" s="1"/>
  <c r="N15" i="1"/>
  <c r="M15" i="1"/>
  <c r="L15" i="1"/>
  <c r="H15" i="1"/>
  <c r="G15" i="1"/>
  <c r="N14" i="1"/>
  <c r="O14" i="1" s="1"/>
  <c r="P14" i="1" s="1"/>
  <c r="M14" i="1"/>
  <c r="L14" i="1"/>
  <c r="H14" i="1"/>
  <c r="G14" i="1"/>
  <c r="M13" i="1"/>
  <c r="L13" i="1"/>
  <c r="N13" i="1" s="1"/>
  <c r="O13" i="1" s="1"/>
  <c r="P13" i="1" s="1"/>
  <c r="H13" i="1"/>
  <c r="G13" i="1"/>
  <c r="M12" i="1"/>
  <c r="L12" i="1"/>
  <c r="N12" i="1" s="1"/>
  <c r="O12" i="1" s="1"/>
  <c r="P12" i="1" s="1"/>
  <c r="H12" i="1"/>
  <c r="G12" i="1"/>
  <c r="M11" i="1"/>
  <c r="L11" i="1"/>
  <c r="N11" i="1" s="1"/>
  <c r="O11" i="1" s="1"/>
  <c r="P11" i="1" s="1"/>
  <c r="H11" i="1"/>
  <c r="G11" i="1"/>
  <c r="M10" i="1"/>
  <c r="L10" i="1"/>
  <c r="N10" i="1" s="1"/>
  <c r="O10" i="1" s="1"/>
  <c r="P10" i="1" s="1"/>
  <c r="H10" i="1"/>
  <c r="G10" i="1"/>
  <c r="M9" i="1"/>
  <c r="L9" i="1"/>
  <c r="N9" i="1" s="1"/>
  <c r="O9" i="1" s="1"/>
  <c r="P9" i="1" s="1"/>
  <c r="H9" i="1"/>
  <c r="G9" i="1"/>
  <c r="M8" i="1"/>
  <c r="L8" i="1"/>
  <c r="N8" i="1" s="1"/>
  <c r="O8" i="1" s="1"/>
  <c r="P8" i="1" s="1"/>
  <c r="H8" i="1"/>
  <c r="G8" i="1"/>
  <c r="O7" i="1"/>
  <c r="P7" i="1" s="1"/>
  <c r="N7" i="1"/>
  <c r="M7" i="1"/>
  <c r="L7" i="1"/>
  <c r="H7" i="1"/>
  <c r="G7" i="1"/>
  <c r="N6" i="1"/>
  <c r="O6" i="1" s="1"/>
  <c r="P6" i="1" s="1"/>
  <c r="M6" i="1"/>
  <c r="L6" i="1"/>
  <c r="H6" i="1"/>
  <c r="G6" i="1"/>
  <c r="M5" i="1"/>
  <c r="L5" i="1"/>
  <c r="N5" i="1" s="1"/>
  <c r="O5" i="1" s="1"/>
  <c r="P5" i="1" s="1"/>
  <c r="H5" i="1"/>
  <c r="G5" i="1"/>
  <c r="M4" i="1"/>
  <c r="L4" i="1"/>
  <c r="N4" i="1" s="1"/>
  <c r="O4" i="1" s="1"/>
  <c r="P4" i="1" s="1"/>
  <c r="G4" i="1"/>
  <c r="M3" i="1"/>
  <c r="L3" i="1"/>
  <c r="N3" i="1" s="1"/>
  <c r="O3" i="1" s="1"/>
  <c r="P3" i="1" s="1"/>
  <c r="H3" i="1"/>
  <c r="G3" i="1"/>
  <c r="M2" i="1"/>
  <c r="L2" i="1"/>
  <c r="N2" i="1" s="1"/>
  <c r="O2" i="1" s="1"/>
  <c r="P2" i="1" s="1"/>
  <c r="H2" i="1"/>
  <c r="G2" i="1"/>
</calcChain>
</file>

<file path=xl/sharedStrings.xml><?xml version="1.0" encoding="utf-8"?>
<sst xmlns="http://schemas.openxmlformats.org/spreadsheetml/2006/main" count="277" uniqueCount="84">
  <si>
    <t>Sample ID</t>
  </si>
  <si>
    <t>Group</t>
  </si>
  <si>
    <t>Run</t>
  </si>
  <si>
    <t>RPL13A Ct1</t>
  </si>
  <si>
    <t>RPL13A Ct2</t>
  </si>
  <si>
    <t>RPL13A Ct3</t>
  </si>
  <si>
    <t>RPL13A Mean Ct</t>
  </si>
  <si>
    <t>RPL13A Ct SD</t>
  </si>
  <si>
    <t>CD53 Ct1</t>
  </si>
  <si>
    <t>CD53 Ct2</t>
  </si>
  <si>
    <t>CD53 Ct3</t>
  </si>
  <si>
    <t>CD53 Mean Ct</t>
  </si>
  <si>
    <t>CD53 Ct SD</t>
  </si>
  <si>
    <t>ΔCt (CD53−RPL13A)</t>
  </si>
  <si>
    <t>ΔΔCt vs Healthy mean</t>
  </si>
  <si>
    <t>Relative expression (2^-ΔΔCt)</t>
  </si>
  <si>
    <t>1</t>
  </si>
  <si>
    <t>TNBC</t>
  </si>
  <si>
    <t>Run 1</t>
  </si>
  <si>
    <t>2</t>
  </si>
  <si>
    <t>3</t>
  </si>
  <si>
    <t>4</t>
  </si>
  <si>
    <t>5</t>
  </si>
  <si>
    <t>6</t>
  </si>
  <si>
    <t>7</t>
  </si>
  <si>
    <t>8</t>
  </si>
  <si>
    <t>9</t>
  </si>
  <si>
    <t>Run 2</t>
  </si>
  <si>
    <t>10</t>
  </si>
  <si>
    <t>11</t>
  </si>
  <si>
    <t>12</t>
  </si>
  <si>
    <t>A</t>
  </si>
  <si>
    <t>Healthy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</si>
  <si>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</si>
  <si>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</si>
  <si>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</si>
  <si>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</si>
  <si>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</si>
  <si>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</si>
  <si>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</si>
  <si>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</si>
  <si>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</si>
  <si>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</si>
  <si>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</si>
  <si>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Metric</t>
  </si>
  <si>
    <t>Value</t>
  </si>
  <si>
    <t>TNBC n</t>
  </si>
  <si>
    <t>Healthy n</t>
  </si>
  <si>
    <t>TNBC mean ΔCt</t>
  </si>
  <si>
    <t>Healthy mean ΔCt</t>
  </si>
  <si>
    <t>Group ΔΔCt (TNBC−Healthy)</t>
  </si>
  <si>
    <t>Group fold change (TNBC/Healthy)</t>
  </si>
  <si>
    <t>Gene</t>
  </si>
  <si>
    <t>Ct1</t>
  </si>
  <si>
    <t>Ct2</t>
  </si>
  <si>
    <t>Ct3</t>
  </si>
  <si>
    <t>Mean Ct</t>
  </si>
  <si>
    <t>Ct SD</t>
  </si>
  <si>
    <t>Ct range</t>
  </si>
  <si>
    <t>RPL13A</t>
  </si>
  <si>
    <t>CD53</t>
  </si>
  <si>
    <t>Supplementary dataset</t>
  </si>
  <si>
    <t>CD53 RT-qPCR in PBMCs: TNBC vs Healthy controls</t>
  </si>
  <si>
    <t>Biological samples</t>
  </si>
  <si>
    <t>TNBC 1–12; Healthy A–L</t>
  </si>
  <si>
    <t>Reference gene</t>
  </si>
  <si>
    <t>Target gene</t>
  </si>
  <si>
    <t>Technical replicates</t>
  </si>
  <si>
    <t>3 Ct values per gene per biological sample</t>
  </si>
  <si>
    <t>ΔCt definition</t>
  </si>
  <si>
    <t>Mean Ct(CD53) − Mean Ct(RPL13A)</t>
  </si>
  <si>
    <t>ΔΔCt definition</t>
  </si>
  <si>
    <t>Individual ΔCt − mean ΔCt of all Healthy controls</t>
  </si>
  <si>
    <t>Relative expression</t>
  </si>
  <si>
    <t>2^(-ΔΔCt)</t>
  </si>
  <si>
    <t>Forward primer (5′–3′)</t>
  </si>
  <si>
    <t>Reverse primer (5′–3′)</t>
  </si>
  <si>
    <t>Amplicon</t>
  </si>
  <si>
    <t>111 bp</t>
  </si>
  <si>
    <t>134 bp</t>
  </si>
  <si>
    <t>GGTCTTGAAGGACACTGGGA</t>
    <phoneticPr fontId="4" type="noConversion"/>
  </si>
  <si>
    <t>CGTGGCTAAACAGTGAAGTACC</t>
    <phoneticPr fontId="4" type="noConversion"/>
  </si>
  <si>
    <t>TTCCTCAGTCCTTTCGGCAG</t>
    <phoneticPr fontId="4" type="noConversion"/>
  </si>
  <si>
    <t>GTTTTGTGGGGCAGCATACC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</si>
</sst>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176" fontId="0" fillId="0" borderId="0" xfId="1" applyNumberFormat="1" applyFont="1"/>
    <xf numFmtId="0" fontId="2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vidualQPCR" displayName="IndividualQPCR" ref="A1:T25" totalsRowShown="0">
  <tableColumns count="20">
    <tableColumn id="1" xr3:uid="{00000000-0010-0000-0000-000001000000}" name="Sample ID"/>
    <tableColumn id="2" xr3:uid="{00000000-0010-0000-0000-000002000000}" name="Group"/>
    <tableColumn id="3" xr3:uid="{00000000-0010-0000-0000-000003000000}" name="Run"/>
    <tableColumn id="4" xr3:uid="{00000000-0010-0000-0000-000004000000}" name="RPL13A Ct1"/>
    <tableColumn id="5" xr3:uid="{00000000-0010-0000-0000-000005000000}" name="RPL13A Ct2"/>
    <tableColumn id="6" xr3:uid="{00000000-0010-0000-0000-000006000000}" name="RPL13A Ct3"/>
    <tableColumn id="7" xr3:uid="{00000000-0010-0000-0000-000007000000}" name="RPL13A Mean Ct"/>
    <tableColumn id="8" xr3:uid="{00000000-0010-0000-0000-000008000000}" name="RPL13A Ct SD"/>
    <tableColumn id="9" xr3:uid="{00000000-0010-0000-0000-000009000000}" name="CD53 Ct1"/>
    <tableColumn id="10" xr3:uid="{00000000-0010-0000-0000-00000A000000}" name="CD53 Ct2"/>
    <tableColumn id="11" xr3:uid="{00000000-0010-0000-0000-00000B000000}" name="CD53 Ct3"/>
    <tableColumn id="12" xr3:uid="{00000000-0010-0000-0000-00000C000000}" name="CD53 Mean Ct"/>
    <tableColumn id="13" xr3:uid="{00000000-0010-0000-0000-00000D000000}" name="CD53 Ct SD"/>
    <tableColumn id="14" xr3:uid="{00000000-0010-0000-0000-00000E000000}" name="ΔCt (CD53−RPL13A)"/>
    <tableColumn id="15" xr3:uid="{00000000-0010-0000-0000-00000F000000}" name="ΔΔCt vs Healthy mean"/>
    <tableColumn id="16" xr3:uid="{00000000-0010-0000-0000-000010000000}" name="Relative expression (2^-ΔΔCt)"/>
    <tableColumn id="17" xr3:uid="{F448A178-94CA-41E1-9C4B-20C87A769E48}" name="Gene"/>
    <tableColumn id="18" xr3:uid="{9F2F031A-86BB-4C52-99B5-AD411DC157C4}" name="Forward primer (5′–3′)"/>
    <tableColumn id="19" xr3:uid="{FF6CBE00-4EAE-47EB-AA6A-D535CC110EDA}" name="Reverse primer (5′–3′)"/>
    <tableColumn id="20" xr3:uid="{3D0753E4-C76B-476C-AFC4-CFB397B07DD7}" name="Amplic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icalQC" displayName="TechnicalQC" ref="A1:I49" totalsRowShown="0">
  <tableColumns count="9">
    <tableColumn id="1" xr3:uid="{00000000-0010-0000-0100-000001000000}" name="Sample ID"/>
    <tableColumn id="2" xr3:uid="{00000000-0010-0000-0100-000002000000}" name="Group"/>
    <tableColumn id="3" xr3:uid="{00000000-0010-0000-0100-000003000000}" name="Gene"/>
    <tableColumn id="4" xr3:uid="{00000000-0010-0000-0100-000004000000}" name="Ct1"/>
    <tableColumn id="5" xr3:uid="{00000000-0010-0000-0100-000005000000}" name="Ct2"/>
    <tableColumn id="6" xr3:uid="{00000000-0010-0000-0100-000006000000}" name="Ct3"/>
    <tableColumn id="7" xr3:uid="{00000000-0010-0000-0100-000007000000}" name="Mean Ct"/>
    <tableColumn id="8" xr3:uid="{00000000-0010-0000-0100-000008000000}" name="Ct SD"/>
    <tableColumn id="9" xr3:uid="{00000000-0010-0000-0100-000009000000}" name="Ct r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topLeftCell="M1" workbookViewId="0">
      <selection activeCell="V10" sqref="V10"/>
    </sheetView>
  </sheetViews>
  <sheetFormatPr defaultRowHeight="13.8"/>
  <cols>
    <col min="1" max="2" width="12" customWidth="1"/>
    <col min="3" max="3" width="10" customWidth="1"/>
    <col min="4" max="6" width="13" customWidth="1"/>
    <col min="7" max="7" width="16" customWidth="1"/>
    <col min="8" max="8" width="14" customWidth="1"/>
    <col min="9" max="11" width="11" customWidth="1"/>
    <col min="12" max="12" width="14" customWidth="1"/>
    <col min="13" max="13" width="12" customWidth="1"/>
    <col min="14" max="14" width="18" customWidth="1"/>
    <col min="15" max="15" width="20" customWidth="1"/>
    <col min="16" max="16" width="24" customWidth="1"/>
    <col min="18" max="18" width="31.19921875" customWidth="1"/>
    <col min="19" max="19" width="29.59765625" customWidth="1"/>
    <col min="20" max="20" width="11.59765625" customWidth="1"/>
    <col min="21" max="21" width="10.19921875" customWidth="1"/>
    <col min="22" max="22" width="8.8984375" customWidth="1"/>
  </cols>
  <sheetData>
    <row r="1" spans="1:20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52</v>
      </c>
      <c r="R1" s="5" t="s">
        <v>75</v>
      </c>
      <c r="S1" s="5" t="s">
        <v>76</v>
      </c>
      <c r="T1" s="5" t="s">
        <v>77</v>
      </c>
    </row>
    <row r="2" spans="1:20">
      <c r="A2" t="s">
        <v>16</v>
      </c>
      <c r="B2" t="s">
        <v>17</v>
      </c>
      <c r="C2" t="s">
        <v>18</v>
      </c>
      <c r="D2" s="2">
        <v>23.92</v>
      </c>
      <c r="E2" s="2">
        <v>24.11</v>
      </c>
      <c r="F2" s="2">
        <v>24.2</v>
      </c>
      <c r="G2" s="2">
        <f t="shared" ref="G2:G25" si="0">AVERAGE(D2:F2)</f>
        <v>24.076666666666668</v>
      </c>
      <c r="H2" s="2" t="e">
        <f t="shared" ref="H2:H25" ca="1" si="1">_xludf.STDEV.S(D2:F2)</f>
        <v>#NAME?</v>
      </c>
      <c r="I2" s="2">
        <v>24.04</v>
      </c>
      <c r="J2" s="2">
        <v>23.92</v>
      </c>
      <c r="K2" s="2">
        <v>23.93</v>
      </c>
      <c r="L2" s="2">
        <f t="shared" ref="L2:L25" si="2">AVERAGE(I2:K2)</f>
        <v>23.963333333333335</v>
      </c>
      <c r="M2" s="2" t="e">
        <f t="shared" ref="M2:M25" ca="1" si="3">_xludf.STDEV.S(I2:K2)</f>
        <v>#NAME?</v>
      </c>
      <c r="N2" s="2">
        <f t="shared" ref="N2:N25" si="4">L2-G2</f>
        <v>-0.11333333333333329</v>
      </c>
      <c r="O2" s="2">
        <f>N2-Summary!$B$5</f>
        <v>0.43722222222222218</v>
      </c>
      <c r="P2" s="2">
        <f t="shared" ref="P2:P25" si="5">POWER(2,-O2)</f>
        <v>0.73855526136329919</v>
      </c>
      <c r="Q2" s="7" t="s">
        <v>60</v>
      </c>
      <c r="R2" s="6" t="s">
        <v>80</v>
      </c>
      <c r="S2" s="6" t="s">
        <v>82</v>
      </c>
      <c r="T2" s="6" t="s">
        <v>78</v>
      </c>
    </row>
    <row r="3" spans="1:20">
      <c r="A3" t="s">
        <v>19</v>
      </c>
      <c r="B3" t="s">
        <v>17</v>
      </c>
      <c r="C3" t="s">
        <v>18</v>
      </c>
      <c r="D3" s="2">
        <v>25.13</v>
      </c>
      <c r="E3" s="2">
        <v>25.16</v>
      </c>
      <c r="F3" s="2">
        <v>25.43</v>
      </c>
      <c r="G3" s="2">
        <f t="shared" si="0"/>
        <v>25.24</v>
      </c>
      <c r="H3" s="2" t="e">
        <f t="shared" ca="1" si="1"/>
        <v>#NAME?</v>
      </c>
      <c r="I3" s="2">
        <v>26.65</v>
      </c>
      <c r="J3" s="2">
        <v>26.63</v>
      </c>
      <c r="K3" s="2">
        <v>26.05</v>
      </c>
      <c r="L3" s="2">
        <f t="shared" si="2"/>
        <v>26.443333333333332</v>
      </c>
      <c r="M3" s="2" t="e">
        <f t="shared" ca="1" si="3"/>
        <v>#NAME?</v>
      </c>
      <c r="N3" s="2">
        <f t="shared" si="4"/>
        <v>1.2033333333333331</v>
      </c>
      <c r="O3" s="2">
        <f>N3-Summary!$B$5</f>
        <v>1.7538888888888886</v>
      </c>
      <c r="P3" s="2">
        <f t="shared" si="5"/>
        <v>0.29650145943458978</v>
      </c>
      <c r="Q3" s="7" t="s">
        <v>59</v>
      </c>
      <c r="R3" s="6" t="s">
        <v>81</v>
      </c>
      <c r="S3" s="6" t="s">
        <v>83</v>
      </c>
      <c r="T3" s="6" t="s">
        <v>79</v>
      </c>
    </row>
    <row r="4" spans="1:20">
      <c r="A4" t="s">
        <v>20</v>
      </c>
      <c r="B4" t="s">
        <v>17</v>
      </c>
      <c r="C4" t="s">
        <v>18</v>
      </c>
      <c r="D4" s="2">
        <v>24.59</v>
      </c>
      <c r="E4" s="2">
        <v>24.57</v>
      </c>
      <c r="F4" s="2">
        <v>25.15</v>
      </c>
      <c r="G4" s="2">
        <f t="shared" si="0"/>
        <v>24.77</v>
      </c>
      <c r="H4" s="2" t="e">
        <f t="shared" ca="1" si="1"/>
        <v>#NAME?</v>
      </c>
      <c r="I4" s="2">
        <v>25.97</v>
      </c>
      <c r="J4" s="2">
        <v>25.54</v>
      </c>
      <c r="K4" s="2">
        <v>26.06</v>
      </c>
      <c r="L4" s="2">
        <f t="shared" si="2"/>
        <v>25.856666666666666</v>
      </c>
      <c r="M4" s="2" t="e">
        <f t="shared" ca="1" si="3"/>
        <v>#NAME?</v>
      </c>
      <c r="N4" s="2">
        <f t="shared" si="4"/>
        <v>1.086666666666666</v>
      </c>
      <c r="O4" s="2">
        <f>N4-Summary!$B$5</f>
        <v>1.6372222222222215</v>
      </c>
      <c r="P4" s="2">
        <f t="shared" si="5"/>
        <v>0.32147484940256832</v>
      </c>
      <c r="Q4" s="8"/>
      <c r="R4" s="8"/>
      <c r="S4" s="8"/>
      <c r="T4" s="8"/>
    </row>
    <row r="5" spans="1:20">
      <c r="A5" t="s">
        <v>21</v>
      </c>
      <c r="B5" t="s">
        <v>17</v>
      </c>
      <c r="C5" t="s">
        <v>18</v>
      </c>
      <c r="D5" s="2">
        <v>24.78</v>
      </c>
      <c r="E5" s="2">
        <v>24.74</v>
      </c>
      <c r="F5" s="2">
        <v>24.91</v>
      </c>
      <c r="G5" s="2">
        <f t="shared" si="0"/>
        <v>24.81</v>
      </c>
      <c r="H5" s="2" t="e">
        <f t="shared" ca="1" si="1"/>
        <v>#NAME?</v>
      </c>
      <c r="I5" s="2">
        <v>28.98</v>
      </c>
      <c r="J5" s="2">
        <v>27.75</v>
      </c>
      <c r="K5" s="2">
        <v>27.57</v>
      </c>
      <c r="L5" s="2">
        <f t="shared" si="2"/>
        <v>28.100000000000005</v>
      </c>
      <c r="M5" s="2" t="e">
        <f t="shared" ca="1" si="3"/>
        <v>#NAME?</v>
      </c>
      <c r="N5" s="2">
        <f t="shared" si="4"/>
        <v>3.2900000000000063</v>
      </c>
      <c r="O5" s="2">
        <f>N5-Summary!$B$5</f>
        <v>3.8405555555555617</v>
      </c>
      <c r="P5" s="2">
        <f t="shared" si="5"/>
        <v>6.9803560874772005E-2</v>
      </c>
      <c r="Q5" s="8"/>
      <c r="R5" s="8"/>
      <c r="S5" s="8"/>
      <c r="T5" s="8"/>
    </row>
    <row r="6" spans="1:20">
      <c r="A6" t="s">
        <v>22</v>
      </c>
      <c r="B6" t="s">
        <v>17</v>
      </c>
      <c r="C6" t="s">
        <v>18</v>
      </c>
      <c r="D6" s="2">
        <v>23.43</v>
      </c>
      <c r="E6" s="2">
        <v>23.45</v>
      </c>
      <c r="F6" s="2">
        <v>24.01</v>
      </c>
      <c r="G6" s="2">
        <f t="shared" si="0"/>
        <v>23.63</v>
      </c>
      <c r="H6" s="2" t="e">
        <f t="shared" ca="1" si="1"/>
        <v>#NAME?</v>
      </c>
      <c r="I6" s="2">
        <v>25.25</v>
      </c>
      <c r="J6" s="2">
        <v>25.22</v>
      </c>
      <c r="K6" s="2">
        <v>25.19</v>
      </c>
      <c r="L6" s="2">
        <f t="shared" si="2"/>
        <v>25.22</v>
      </c>
      <c r="M6" s="2" t="e">
        <f t="shared" ca="1" si="3"/>
        <v>#NAME?</v>
      </c>
      <c r="N6" s="2">
        <f t="shared" si="4"/>
        <v>1.5899999999999999</v>
      </c>
      <c r="O6" s="2">
        <f>N6-Summary!$B$5</f>
        <v>2.1405555555555553</v>
      </c>
      <c r="P6" s="2">
        <f t="shared" si="5"/>
        <v>0.22679243837892862</v>
      </c>
      <c r="Q6" s="8"/>
      <c r="R6" s="8"/>
      <c r="S6" s="8"/>
      <c r="T6" s="8"/>
    </row>
    <row r="7" spans="1:20">
      <c r="A7" t="s">
        <v>23</v>
      </c>
      <c r="B7" t="s">
        <v>17</v>
      </c>
      <c r="C7" t="s">
        <v>18</v>
      </c>
      <c r="D7" s="2">
        <v>23.91</v>
      </c>
      <c r="E7" s="2">
        <v>23.79</v>
      </c>
      <c r="F7" s="2">
        <v>23.89</v>
      </c>
      <c r="G7" s="2">
        <f t="shared" si="0"/>
        <v>23.863333333333333</v>
      </c>
      <c r="H7" s="2" t="e">
        <f t="shared" ca="1" si="1"/>
        <v>#NAME?</v>
      </c>
      <c r="I7" s="2">
        <v>24.66</v>
      </c>
      <c r="J7" s="2">
        <v>24.87</v>
      </c>
      <c r="K7" s="2">
        <v>24.74</v>
      </c>
      <c r="L7" s="2">
        <f t="shared" si="2"/>
        <v>24.756666666666664</v>
      </c>
      <c r="M7" s="2" t="e">
        <f t="shared" ca="1" si="3"/>
        <v>#NAME?</v>
      </c>
      <c r="N7" s="2">
        <f t="shared" si="4"/>
        <v>0.89333333333333087</v>
      </c>
      <c r="O7" s="2">
        <f>N7-Summary!$B$5</f>
        <v>1.4438888888888863</v>
      </c>
      <c r="P7" s="2">
        <f t="shared" si="5"/>
        <v>0.36757514230420857</v>
      </c>
      <c r="Q7" s="8"/>
      <c r="R7" s="8"/>
      <c r="S7" s="8"/>
      <c r="T7" s="8"/>
    </row>
    <row r="8" spans="1:20">
      <c r="A8" t="s">
        <v>24</v>
      </c>
      <c r="B8" t="s">
        <v>17</v>
      </c>
      <c r="C8" t="s">
        <v>18</v>
      </c>
      <c r="D8" s="2">
        <v>26.99</v>
      </c>
      <c r="E8" s="2">
        <v>26.65</v>
      </c>
      <c r="F8" s="2">
        <v>26.7</v>
      </c>
      <c r="G8" s="2">
        <f t="shared" si="0"/>
        <v>26.78</v>
      </c>
      <c r="H8" s="2" t="e">
        <f t="shared" ca="1" si="1"/>
        <v>#NAME?</v>
      </c>
      <c r="I8" s="2">
        <v>25.95</v>
      </c>
      <c r="J8" s="2">
        <v>26</v>
      </c>
      <c r="K8" s="2">
        <v>26</v>
      </c>
      <c r="L8" s="2">
        <f t="shared" si="2"/>
        <v>25.983333333333334</v>
      </c>
      <c r="M8" s="2" t="e">
        <f t="shared" ca="1" si="3"/>
        <v>#NAME?</v>
      </c>
      <c r="N8" s="2">
        <f t="shared" si="4"/>
        <v>-0.79666666666666686</v>
      </c>
      <c r="O8" s="2">
        <f>N8-Summary!$B$5</f>
        <v>-0.24611111111111139</v>
      </c>
      <c r="P8" s="2">
        <f t="shared" si="5"/>
        <v>1.1860058377383591</v>
      </c>
      <c r="Q8" s="8"/>
      <c r="R8" s="8"/>
      <c r="S8" s="8"/>
      <c r="T8" s="8"/>
    </row>
    <row r="9" spans="1:20">
      <c r="A9" t="s">
        <v>25</v>
      </c>
      <c r="B9" t="s">
        <v>17</v>
      </c>
      <c r="C9" t="s">
        <v>18</v>
      </c>
      <c r="D9" s="2">
        <v>25.36</v>
      </c>
      <c r="E9" s="2">
        <v>25.51</v>
      </c>
      <c r="F9" s="2">
        <v>25.41</v>
      </c>
      <c r="G9" s="2">
        <f t="shared" si="0"/>
        <v>25.426666666666666</v>
      </c>
      <c r="H9" s="2" t="e">
        <f t="shared" ca="1" si="1"/>
        <v>#NAME?</v>
      </c>
      <c r="I9" s="2">
        <v>24.69</v>
      </c>
      <c r="J9" s="2">
        <v>24.94</v>
      </c>
      <c r="K9" s="2">
        <v>25.14</v>
      </c>
      <c r="L9" s="2">
        <f t="shared" si="2"/>
        <v>24.923333333333336</v>
      </c>
      <c r="M9" s="2" t="e">
        <f t="shared" ca="1" si="3"/>
        <v>#NAME?</v>
      </c>
      <c r="N9" s="2">
        <f t="shared" si="4"/>
        <v>-0.5033333333333303</v>
      </c>
      <c r="O9" s="2">
        <f>N9-Summary!$B$5</f>
        <v>4.7222222222225163E-2</v>
      </c>
      <c r="P9" s="2">
        <f t="shared" si="5"/>
        <v>0.96779794287535481</v>
      </c>
      <c r="Q9" s="8"/>
      <c r="R9" s="8"/>
      <c r="S9" s="8"/>
      <c r="T9" s="8"/>
    </row>
    <row r="10" spans="1:20">
      <c r="A10" t="s">
        <v>26</v>
      </c>
      <c r="B10" t="s">
        <v>17</v>
      </c>
      <c r="C10" t="s">
        <v>27</v>
      </c>
      <c r="D10" s="2">
        <v>26.02</v>
      </c>
      <c r="E10" s="2">
        <v>26.12</v>
      </c>
      <c r="F10" s="2">
        <v>26.39</v>
      </c>
      <c r="G10" s="2">
        <f t="shared" si="0"/>
        <v>26.176666666666666</v>
      </c>
      <c r="H10" s="2" t="e">
        <f t="shared" ca="1" si="1"/>
        <v>#NAME?</v>
      </c>
      <c r="I10" s="2">
        <v>28.04</v>
      </c>
      <c r="J10" s="2">
        <v>28.33</v>
      </c>
      <c r="K10" s="2">
        <v>25.29</v>
      </c>
      <c r="L10" s="2">
        <f t="shared" si="2"/>
        <v>27.22</v>
      </c>
      <c r="M10" s="2" t="e">
        <f t="shared" ca="1" si="3"/>
        <v>#NAME?</v>
      </c>
      <c r="N10" s="2">
        <f t="shared" si="4"/>
        <v>1.043333333333333</v>
      </c>
      <c r="O10" s="2">
        <f>N10-Summary!$B$5</f>
        <v>1.5938888888888885</v>
      </c>
      <c r="P10" s="2">
        <f t="shared" si="5"/>
        <v>0.33127726704590926</v>
      </c>
      <c r="Q10" s="8"/>
      <c r="R10" s="8"/>
      <c r="S10" s="8"/>
      <c r="T10" s="8"/>
    </row>
    <row r="11" spans="1:20">
      <c r="A11" t="s">
        <v>28</v>
      </c>
      <c r="B11" t="s">
        <v>17</v>
      </c>
      <c r="C11" t="s">
        <v>27</v>
      </c>
      <c r="D11" s="2">
        <v>24.09</v>
      </c>
      <c r="E11" s="2">
        <v>23.99</v>
      </c>
      <c r="F11" s="2">
        <v>24.15</v>
      </c>
      <c r="G11" s="2">
        <f t="shared" si="0"/>
        <v>24.076666666666664</v>
      </c>
      <c r="H11" s="2" t="e">
        <f t="shared" ca="1" si="1"/>
        <v>#NAME?</v>
      </c>
      <c r="I11" s="2">
        <v>26.18</v>
      </c>
      <c r="J11" s="2">
        <v>26.48</v>
      </c>
      <c r="K11" s="2">
        <v>26.08</v>
      </c>
      <c r="L11" s="2">
        <f t="shared" si="2"/>
        <v>26.246666666666666</v>
      </c>
      <c r="M11" s="2" t="e">
        <f t="shared" ca="1" si="3"/>
        <v>#NAME?</v>
      </c>
      <c r="N11" s="2">
        <f t="shared" si="4"/>
        <v>2.1700000000000017</v>
      </c>
      <c r="O11" s="2">
        <f>N11-Summary!$B$5</f>
        <v>2.7205555555555572</v>
      </c>
      <c r="P11" s="2">
        <f t="shared" si="5"/>
        <v>0.15171592626214983</v>
      </c>
      <c r="Q11" s="8"/>
      <c r="R11" s="8"/>
      <c r="S11" s="8"/>
      <c r="T11" s="8"/>
    </row>
    <row r="12" spans="1:20">
      <c r="A12" t="s">
        <v>29</v>
      </c>
      <c r="B12" t="s">
        <v>17</v>
      </c>
      <c r="C12" t="s">
        <v>27</v>
      </c>
      <c r="D12" s="2">
        <v>24.69</v>
      </c>
      <c r="E12" s="2">
        <v>27.53</v>
      </c>
      <c r="F12" s="2">
        <v>25.73</v>
      </c>
      <c r="G12" s="2">
        <f t="shared" si="0"/>
        <v>25.983333333333334</v>
      </c>
      <c r="H12" s="2" t="e">
        <f t="shared" ca="1" si="1"/>
        <v>#NAME?</v>
      </c>
      <c r="I12" s="2">
        <v>27.29</v>
      </c>
      <c r="J12" s="2">
        <v>27.31</v>
      </c>
      <c r="K12" s="2">
        <v>26.69</v>
      </c>
      <c r="L12" s="2">
        <f t="shared" si="2"/>
        <v>27.096666666666664</v>
      </c>
      <c r="M12" s="2" t="e">
        <f t="shared" ca="1" si="3"/>
        <v>#NAME?</v>
      </c>
      <c r="N12" s="2">
        <f t="shared" si="4"/>
        <v>1.1133333333333297</v>
      </c>
      <c r="O12" s="2">
        <f>N12-Summary!$B$5</f>
        <v>1.6638888888888852</v>
      </c>
      <c r="P12" s="2">
        <f t="shared" si="5"/>
        <v>0.31558731247608252</v>
      </c>
      <c r="Q12" s="8"/>
      <c r="R12" s="8"/>
      <c r="S12" s="8"/>
      <c r="T12" s="8"/>
    </row>
    <row r="13" spans="1:20">
      <c r="A13" t="s">
        <v>30</v>
      </c>
      <c r="B13" t="s">
        <v>17</v>
      </c>
      <c r="C13" t="s">
        <v>27</v>
      </c>
      <c r="D13" s="2">
        <v>24.02</v>
      </c>
      <c r="E13" s="2">
        <v>23.76</v>
      </c>
      <c r="F13" s="2">
        <v>23.86</v>
      </c>
      <c r="G13" s="2">
        <f t="shared" si="0"/>
        <v>23.88</v>
      </c>
      <c r="H13" s="2" t="e">
        <f t="shared" ca="1" si="1"/>
        <v>#NAME?</v>
      </c>
      <c r="I13" s="2">
        <v>27.97</v>
      </c>
      <c r="J13" s="2">
        <v>27.44</v>
      </c>
      <c r="K13" s="2">
        <v>26.95</v>
      </c>
      <c r="L13" s="2">
        <f t="shared" si="2"/>
        <v>27.453333333333333</v>
      </c>
      <c r="M13" s="2" t="e">
        <f t="shared" ca="1" si="3"/>
        <v>#NAME?</v>
      </c>
      <c r="N13" s="2">
        <f t="shared" si="4"/>
        <v>3.5733333333333341</v>
      </c>
      <c r="O13" s="2">
        <f>N13-Summary!$B$5</f>
        <v>4.1238888888888896</v>
      </c>
      <c r="P13" s="2">
        <f t="shared" si="5"/>
        <v>5.7356909894399982E-2</v>
      </c>
      <c r="Q13" s="8"/>
      <c r="R13" s="8"/>
      <c r="S13" s="8"/>
      <c r="T13" s="8"/>
    </row>
    <row r="14" spans="1:20">
      <c r="A14" t="s">
        <v>31</v>
      </c>
      <c r="B14" t="s">
        <v>32</v>
      </c>
      <c r="C14" t="s">
        <v>18</v>
      </c>
      <c r="D14" s="2">
        <v>23.67</v>
      </c>
      <c r="E14" s="2">
        <v>24.28</v>
      </c>
      <c r="F14" s="2">
        <v>24.1</v>
      </c>
      <c r="G14" s="2">
        <f t="shared" si="0"/>
        <v>24.016666666666669</v>
      </c>
      <c r="H14" s="2" t="e">
        <f t="shared" ca="1" si="1"/>
        <v>#NAME?</v>
      </c>
      <c r="I14" s="2">
        <v>23.07</v>
      </c>
      <c r="J14" s="2">
        <v>22.77</v>
      </c>
      <c r="K14" s="2">
        <v>23.32</v>
      </c>
      <c r="L14" s="2">
        <f t="shared" si="2"/>
        <v>23.053333333333331</v>
      </c>
      <c r="M14" s="2" t="e">
        <f t="shared" ca="1" si="3"/>
        <v>#NAME?</v>
      </c>
      <c r="N14" s="2">
        <f t="shared" si="4"/>
        <v>-0.96333333333333826</v>
      </c>
      <c r="O14" s="2">
        <f>N14-Summary!$B$5</f>
        <v>-0.41277777777778279</v>
      </c>
      <c r="P14" s="2">
        <f t="shared" si="5"/>
        <v>1.3312465419346766</v>
      </c>
      <c r="Q14" s="8"/>
      <c r="R14" s="8"/>
      <c r="S14" s="8"/>
      <c r="T14" s="8"/>
    </row>
    <row r="15" spans="1:20">
      <c r="A15" t="s">
        <v>33</v>
      </c>
      <c r="B15" t="s">
        <v>32</v>
      </c>
      <c r="C15" t="s">
        <v>18</v>
      </c>
      <c r="D15" s="2">
        <v>25.33</v>
      </c>
      <c r="E15" s="2">
        <v>25.12</v>
      </c>
      <c r="F15" s="2">
        <v>24.8</v>
      </c>
      <c r="G15" s="2">
        <f t="shared" si="0"/>
        <v>25.083333333333332</v>
      </c>
      <c r="H15" s="2" t="e">
        <f t="shared" ca="1" si="1"/>
        <v>#NAME?</v>
      </c>
      <c r="I15" s="2">
        <v>22.24</v>
      </c>
      <c r="J15" s="2">
        <v>22.16</v>
      </c>
      <c r="K15" s="2">
        <v>22.19</v>
      </c>
      <c r="L15" s="2">
        <f t="shared" si="2"/>
        <v>22.196666666666669</v>
      </c>
      <c r="M15" s="2" t="e">
        <f t="shared" ca="1" si="3"/>
        <v>#NAME?</v>
      </c>
      <c r="N15" s="2">
        <f t="shared" si="4"/>
        <v>-2.8866666666666632</v>
      </c>
      <c r="O15" s="2">
        <f>N15-Summary!$B$5</f>
        <v>-2.3361111111111077</v>
      </c>
      <c r="P15" s="2">
        <f t="shared" si="5"/>
        <v>5.0493969996172954</v>
      </c>
      <c r="Q15" s="8"/>
      <c r="R15" s="8"/>
      <c r="S15" s="8"/>
      <c r="T15" s="8"/>
    </row>
    <row r="16" spans="1:20">
      <c r="A16" t="s">
        <v>34</v>
      </c>
      <c r="B16" t="s">
        <v>32</v>
      </c>
      <c r="C16" t="s">
        <v>18</v>
      </c>
      <c r="D16" s="2">
        <v>24.52</v>
      </c>
      <c r="E16" s="2">
        <v>24.49</v>
      </c>
      <c r="F16" s="2">
        <v>24.48</v>
      </c>
      <c r="G16" s="2">
        <f t="shared" si="0"/>
        <v>24.496666666666666</v>
      </c>
      <c r="H16" s="2" t="e">
        <f t="shared" ca="1" si="1"/>
        <v>#NAME?</v>
      </c>
      <c r="I16" s="2">
        <v>22.87</v>
      </c>
      <c r="J16" s="2">
        <v>22.92</v>
      </c>
      <c r="K16" s="2">
        <v>22.76</v>
      </c>
      <c r="L16" s="2">
        <f t="shared" si="2"/>
        <v>22.850000000000005</v>
      </c>
      <c r="M16" s="2" t="e">
        <f t="shared" ca="1" si="3"/>
        <v>#NAME?</v>
      </c>
      <c r="N16" s="2">
        <f t="shared" si="4"/>
        <v>-1.6466666666666612</v>
      </c>
      <c r="O16" s="2">
        <f>N16-Summary!$B$5</f>
        <v>-1.0961111111111057</v>
      </c>
      <c r="P16" s="2">
        <f t="shared" si="5"/>
        <v>2.1377766198416741</v>
      </c>
      <c r="Q16" s="8"/>
      <c r="R16" s="8"/>
      <c r="S16" s="8"/>
      <c r="T16" s="8"/>
    </row>
    <row r="17" spans="1:20">
      <c r="A17" t="s">
        <v>35</v>
      </c>
      <c r="B17" t="s">
        <v>32</v>
      </c>
      <c r="C17" t="s">
        <v>18</v>
      </c>
      <c r="D17" s="2">
        <v>23.19</v>
      </c>
      <c r="E17" s="2">
        <v>23.28</v>
      </c>
      <c r="F17" s="2">
        <v>23.33</v>
      </c>
      <c r="G17" s="2">
        <f t="shared" si="0"/>
        <v>23.266666666666666</v>
      </c>
      <c r="H17" s="2" t="e">
        <f t="shared" ca="1" si="1"/>
        <v>#NAME?</v>
      </c>
      <c r="I17" s="2">
        <v>23.16</v>
      </c>
      <c r="J17" s="2">
        <v>23.21</v>
      </c>
      <c r="K17" s="2">
        <v>23.25</v>
      </c>
      <c r="L17" s="2">
        <f t="shared" si="2"/>
        <v>23.206666666666667</v>
      </c>
      <c r="M17" s="2" t="e">
        <f t="shared" ca="1" si="3"/>
        <v>#NAME?</v>
      </c>
      <c r="N17" s="2">
        <f t="shared" si="4"/>
        <v>-5.9999999999998721E-2</v>
      </c>
      <c r="O17" s="2">
        <f>N17-Summary!$B$5</f>
        <v>0.49055555555555674</v>
      </c>
      <c r="P17" s="2">
        <f t="shared" si="5"/>
        <v>0.71175096270134397</v>
      </c>
      <c r="Q17" s="8"/>
      <c r="R17" s="8"/>
      <c r="S17" s="8"/>
      <c r="T17" s="8"/>
    </row>
    <row r="18" spans="1:20">
      <c r="A18" t="s">
        <v>36</v>
      </c>
      <c r="B18" t="s">
        <v>32</v>
      </c>
      <c r="C18" t="s">
        <v>18</v>
      </c>
      <c r="D18" s="2">
        <v>23.5</v>
      </c>
      <c r="E18" s="2">
        <v>23.48</v>
      </c>
      <c r="F18" s="2">
        <v>23.75</v>
      </c>
      <c r="G18" s="2">
        <f t="shared" si="0"/>
        <v>23.576666666666668</v>
      </c>
      <c r="H18" s="2" t="e">
        <f t="shared" ca="1" si="1"/>
        <v>#NAME?</v>
      </c>
      <c r="I18" s="2">
        <v>23.32</v>
      </c>
      <c r="J18" s="2">
        <v>23.37</v>
      </c>
      <c r="K18" s="2">
        <v>23.44</v>
      </c>
      <c r="L18" s="2">
        <f t="shared" si="2"/>
        <v>23.376666666666665</v>
      </c>
      <c r="M18" s="2" t="e">
        <f t="shared" ca="1" si="3"/>
        <v>#NAME?</v>
      </c>
      <c r="N18" s="2">
        <f t="shared" si="4"/>
        <v>-0.20000000000000284</v>
      </c>
      <c r="O18" s="2">
        <f>N18-Summary!$B$5</f>
        <v>0.35055555555555262</v>
      </c>
      <c r="P18" s="2">
        <f t="shared" si="5"/>
        <v>0.78428202703071592</v>
      </c>
      <c r="Q18" s="8"/>
      <c r="R18" s="8"/>
      <c r="S18" s="8"/>
      <c r="T18" s="8"/>
    </row>
    <row r="19" spans="1:20">
      <c r="A19" t="s">
        <v>37</v>
      </c>
      <c r="B19" t="s">
        <v>32</v>
      </c>
      <c r="C19" t="s">
        <v>18</v>
      </c>
      <c r="D19" s="2">
        <v>24.44</v>
      </c>
      <c r="E19" s="2">
        <v>24.53</v>
      </c>
      <c r="F19" s="2">
        <v>24.46</v>
      </c>
      <c r="G19" s="2">
        <f t="shared" si="0"/>
        <v>24.47666666666667</v>
      </c>
      <c r="H19" s="2" t="e">
        <f t="shared" ca="1" si="1"/>
        <v>#NAME?</v>
      </c>
      <c r="I19" s="2">
        <v>23.2</v>
      </c>
      <c r="J19" s="2">
        <v>23.35</v>
      </c>
      <c r="K19" s="2">
        <v>23.21</v>
      </c>
      <c r="L19" s="2">
        <f t="shared" si="2"/>
        <v>23.25333333333333</v>
      </c>
      <c r="M19" s="2" t="e">
        <f t="shared" ca="1" si="3"/>
        <v>#NAME?</v>
      </c>
      <c r="N19" s="2">
        <f t="shared" si="4"/>
        <v>-1.2233333333333398</v>
      </c>
      <c r="O19" s="2">
        <f>N19-Summary!$B$5</f>
        <v>-0.67277777777778436</v>
      </c>
      <c r="P19" s="2">
        <f t="shared" si="5"/>
        <v>1.5941393845643665</v>
      </c>
      <c r="Q19" s="8"/>
      <c r="R19" s="8"/>
      <c r="S19" s="8"/>
      <c r="T19" s="8"/>
    </row>
    <row r="20" spans="1:20">
      <c r="A20" t="s">
        <v>38</v>
      </c>
      <c r="B20" t="s">
        <v>32</v>
      </c>
      <c r="C20" t="s">
        <v>18</v>
      </c>
      <c r="D20" s="2">
        <v>26.28</v>
      </c>
      <c r="E20" s="2">
        <v>27.65</v>
      </c>
      <c r="F20" s="2">
        <v>27.45</v>
      </c>
      <c r="G20" s="2">
        <f t="shared" si="0"/>
        <v>27.126666666666665</v>
      </c>
      <c r="H20" s="2" t="e">
        <f t="shared" ca="1" si="1"/>
        <v>#NAME?</v>
      </c>
      <c r="I20" s="2">
        <v>27.09</v>
      </c>
      <c r="J20" s="2">
        <v>26.76</v>
      </c>
      <c r="K20" s="2">
        <v>27.33</v>
      </c>
      <c r="L20" s="2">
        <f t="shared" si="2"/>
        <v>27.060000000000002</v>
      </c>
      <c r="M20" s="2" t="e">
        <f t="shared" ca="1" si="3"/>
        <v>#NAME?</v>
      </c>
      <c r="N20" s="2">
        <f t="shared" si="4"/>
        <v>-6.6666666666662877E-2</v>
      </c>
      <c r="O20" s="2">
        <f>N20-Summary!$B$5</f>
        <v>0.48388888888889259</v>
      </c>
      <c r="P20" s="2">
        <f t="shared" si="5"/>
        <v>0.71504756141592363</v>
      </c>
      <c r="Q20" s="8"/>
      <c r="R20" s="8"/>
      <c r="S20" s="8"/>
      <c r="T20" s="8"/>
    </row>
    <row r="21" spans="1:20">
      <c r="A21" t="s">
        <v>39</v>
      </c>
      <c r="B21" t="s">
        <v>32</v>
      </c>
      <c r="C21" t="s">
        <v>18</v>
      </c>
      <c r="D21" s="2">
        <v>24.13</v>
      </c>
      <c r="E21" s="2">
        <v>23.98</v>
      </c>
      <c r="F21" s="2">
        <v>24.17</v>
      </c>
      <c r="G21" s="2">
        <f t="shared" si="0"/>
        <v>24.093333333333334</v>
      </c>
      <c r="H21" s="2" t="e">
        <f t="shared" ca="1" si="1"/>
        <v>#NAME?</v>
      </c>
      <c r="I21" s="2">
        <v>23.02</v>
      </c>
      <c r="J21" s="2">
        <v>23.05</v>
      </c>
      <c r="K21" s="2">
        <v>22.89</v>
      </c>
      <c r="L21" s="2">
        <f t="shared" si="2"/>
        <v>22.986666666666668</v>
      </c>
      <c r="M21" s="2" t="e">
        <f t="shared" ca="1" si="3"/>
        <v>#NAME?</v>
      </c>
      <c r="N21" s="2">
        <f t="shared" si="4"/>
        <v>-1.1066666666666656</v>
      </c>
      <c r="O21" s="2">
        <f>N21-Summary!$B$5</f>
        <v>-0.55611111111111011</v>
      </c>
      <c r="P21" s="2">
        <f t="shared" si="5"/>
        <v>1.4703005692168307</v>
      </c>
      <c r="Q21" s="8"/>
      <c r="R21" s="8"/>
      <c r="S21" s="8"/>
      <c r="T21" s="8"/>
    </row>
    <row r="22" spans="1:20">
      <c r="A22" t="s">
        <v>40</v>
      </c>
      <c r="B22" t="s">
        <v>32</v>
      </c>
      <c r="C22" t="s">
        <v>27</v>
      </c>
      <c r="D22" s="2">
        <v>24.15</v>
      </c>
      <c r="E22" s="2">
        <v>24.3</v>
      </c>
      <c r="F22" s="2">
        <v>25.52</v>
      </c>
      <c r="G22" s="2">
        <f t="shared" si="0"/>
        <v>24.656666666666666</v>
      </c>
      <c r="H22" s="2" t="e">
        <f t="shared" ca="1" si="1"/>
        <v>#NAME?</v>
      </c>
      <c r="I22" s="2">
        <v>24.47</v>
      </c>
      <c r="J22" s="2">
        <v>24.47</v>
      </c>
      <c r="K22" s="2">
        <v>24.43</v>
      </c>
      <c r="L22" s="2">
        <f t="shared" si="2"/>
        <v>24.456666666666667</v>
      </c>
      <c r="M22" s="2" t="e">
        <f t="shared" ca="1" si="3"/>
        <v>#NAME?</v>
      </c>
      <c r="N22" s="2">
        <f t="shared" si="4"/>
        <v>-0.19999999999999929</v>
      </c>
      <c r="O22" s="2">
        <f>N22-Summary!$B$5</f>
        <v>0.35055555555555618</v>
      </c>
      <c r="P22" s="2">
        <f t="shared" si="5"/>
        <v>0.78428202703071392</v>
      </c>
      <c r="Q22" s="8"/>
      <c r="R22" s="8"/>
      <c r="S22" s="8"/>
      <c r="T22" s="8"/>
    </row>
    <row r="23" spans="1:20">
      <c r="A23" t="s">
        <v>41</v>
      </c>
      <c r="B23" t="s">
        <v>32</v>
      </c>
      <c r="C23" t="s">
        <v>27</v>
      </c>
      <c r="D23" s="2">
        <v>23.55</v>
      </c>
      <c r="E23" s="2">
        <v>23.46</v>
      </c>
      <c r="F23" s="2">
        <v>23.66</v>
      </c>
      <c r="G23" s="2">
        <f t="shared" si="0"/>
        <v>23.556666666666668</v>
      </c>
      <c r="H23" s="2" t="e">
        <f t="shared" ca="1" si="1"/>
        <v>#NAME?</v>
      </c>
      <c r="I23" s="2">
        <v>24.02</v>
      </c>
      <c r="J23" s="2">
        <v>23.98</v>
      </c>
      <c r="K23" s="2">
        <v>23.92</v>
      </c>
      <c r="L23" s="2">
        <f t="shared" si="2"/>
        <v>23.973333333333333</v>
      </c>
      <c r="M23" s="2" t="e">
        <f t="shared" ca="1" si="3"/>
        <v>#NAME?</v>
      </c>
      <c r="N23" s="2">
        <f t="shared" si="4"/>
        <v>0.4166666666666643</v>
      </c>
      <c r="O23" s="2">
        <f>N23-Summary!$B$5</f>
        <v>0.96722222222221976</v>
      </c>
      <c r="P23" s="2">
        <f t="shared" si="5"/>
        <v>0.51148994261872305</v>
      </c>
      <c r="Q23" s="8"/>
      <c r="R23" s="8"/>
      <c r="S23" s="8"/>
      <c r="T23" s="8"/>
    </row>
    <row r="24" spans="1:20">
      <c r="A24" t="s">
        <v>42</v>
      </c>
      <c r="B24" t="s">
        <v>32</v>
      </c>
      <c r="C24" t="s">
        <v>27</v>
      </c>
      <c r="D24" s="2">
        <v>23.78</v>
      </c>
      <c r="E24" s="2">
        <v>23.58</v>
      </c>
      <c r="F24" s="2">
        <v>23.54</v>
      </c>
      <c r="G24" s="2">
        <f t="shared" si="0"/>
        <v>23.633333333333336</v>
      </c>
      <c r="H24" s="2" t="e">
        <f t="shared" ca="1" si="1"/>
        <v>#NAME?</v>
      </c>
      <c r="I24" s="2">
        <v>22.69</v>
      </c>
      <c r="J24" s="2">
        <v>22.75</v>
      </c>
      <c r="K24" s="2">
        <v>22.78</v>
      </c>
      <c r="L24" s="2">
        <f t="shared" si="2"/>
        <v>22.74</v>
      </c>
      <c r="M24" s="2" t="e">
        <f t="shared" ca="1" si="3"/>
        <v>#NAME?</v>
      </c>
      <c r="N24" s="2">
        <f t="shared" si="4"/>
        <v>-0.89333333333333798</v>
      </c>
      <c r="O24" s="2">
        <f>N24-Summary!$B$5</f>
        <v>-0.34277777777778251</v>
      </c>
      <c r="P24" s="2">
        <f t="shared" si="5"/>
        <v>1.2681960406115647</v>
      </c>
      <c r="Q24" s="8"/>
      <c r="R24" s="8"/>
      <c r="S24" s="8"/>
      <c r="T24" s="8"/>
    </row>
    <row r="25" spans="1:20">
      <c r="A25" t="s">
        <v>43</v>
      </c>
      <c r="B25" t="s">
        <v>32</v>
      </c>
      <c r="C25" t="s">
        <v>27</v>
      </c>
      <c r="D25" s="2">
        <v>23.72</v>
      </c>
      <c r="E25" s="2">
        <v>23.51</v>
      </c>
      <c r="F25" s="2">
        <v>23.51</v>
      </c>
      <c r="G25" s="2">
        <f t="shared" si="0"/>
        <v>23.580000000000002</v>
      </c>
      <c r="H25" s="2" t="e">
        <f t="shared" ca="1" si="1"/>
        <v>#NAME?</v>
      </c>
      <c r="I25" s="2">
        <v>25.84</v>
      </c>
      <c r="J25" s="2">
        <v>25.83</v>
      </c>
      <c r="K25" s="2">
        <v>25.74</v>
      </c>
      <c r="L25" s="2">
        <f t="shared" si="2"/>
        <v>25.803333333333331</v>
      </c>
      <c r="M25" s="2" t="e">
        <f t="shared" ca="1" si="3"/>
        <v>#NAME?</v>
      </c>
      <c r="N25" s="2">
        <f t="shared" si="4"/>
        <v>2.2233333333333292</v>
      </c>
      <c r="O25" s="2">
        <f>N25-Summary!$B$5</f>
        <v>2.7738888888888846</v>
      </c>
      <c r="P25" s="2">
        <f t="shared" si="5"/>
        <v>0.14620971811220215</v>
      </c>
      <c r="Q25" s="8"/>
      <c r="R25" s="8"/>
      <c r="S25" s="8"/>
      <c r="T25" s="8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3.8"/>
  <cols>
    <col min="1" max="1" width="30" customWidth="1"/>
    <col min="2" max="2" width="18" customWidth="1"/>
  </cols>
  <sheetData>
    <row r="1" spans="1:2">
      <c r="A1" s="1" t="s">
        <v>44</v>
      </c>
      <c r="B1" s="1" t="s">
        <v>45</v>
      </c>
    </row>
    <row r="2" spans="1:2">
      <c r="A2" t="s">
        <v>46</v>
      </c>
      <c r="B2" s="2">
        <v>12</v>
      </c>
    </row>
    <row r="3" spans="1:2">
      <c r="A3" t="s">
        <v>47</v>
      </c>
      <c r="B3" s="2">
        <v>12</v>
      </c>
    </row>
    <row r="4" spans="1:2">
      <c r="A4" t="s">
        <v>48</v>
      </c>
      <c r="B4" s="2">
        <v>1.212500000000001</v>
      </c>
    </row>
    <row r="5" spans="1:2">
      <c r="A5" t="s">
        <v>49</v>
      </c>
      <c r="B5" s="2">
        <v>-0.55055555555555546</v>
      </c>
    </row>
    <row r="6" spans="1:2">
      <c r="A6" t="s">
        <v>50</v>
      </c>
      <c r="B6" s="2">
        <v>1.7630555555555565</v>
      </c>
    </row>
    <row r="7" spans="1:2">
      <c r="A7" t="s">
        <v>51</v>
      </c>
      <c r="B7" s="2">
        <v>0.29462350632043122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workbookViewId="0"/>
  </sheetViews>
  <sheetFormatPr defaultRowHeight="13.8"/>
  <cols>
    <col min="1" max="3" width="12" customWidth="1"/>
    <col min="4" max="6" width="10" customWidth="1"/>
    <col min="7" max="9" width="12" customWidth="1"/>
  </cols>
  <sheetData>
    <row r="1" spans="1:9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</row>
    <row r="2" spans="1:9">
      <c r="A2" t="s">
        <v>16</v>
      </c>
      <c r="B2" t="s">
        <v>17</v>
      </c>
      <c r="C2" t="s">
        <v>59</v>
      </c>
      <c r="D2" s="2">
        <v>23.92</v>
      </c>
      <c r="E2" s="2">
        <v>24.11</v>
      </c>
      <c r="F2" s="2">
        <v>24.2</v>
      </c>
      <c r="G2" s="2">
        <v>24.076666666666668</v>
      </c>
      <c r="H2" s="2">
        <v>0.14294521094927581</v>
      </c>
      <c r="I2" s="2">
        <v>0.27999999999999758</v>
      </c>
    </row>
    <row r="3" spans="1:9">
      <c r="A3" t="s">
        <v>16</v>
      </c>
      <c r="B3" t="s">
        <v>17</v>
      </c>
      <c r="C3" t="s">
        <v>60</v>
      </c>
      <c r="D3" s="2">
        <v>24.04</v>
      </c>
      <c r="E3" s="2">
        <v>23.92</v>
      </c>
      <c r="F3" s="2">
        <v>23.93</v>
      </c>
      <c r="G3" s="2">
        <v>23.963333333333335</v>
      </c>
      <c r="H3" s="2">
        <v>6.6583281184792953E-2</v>
      </c>
      <c r="I3" s="2">
        <v>0.11999999999999744</v>
      </c>
    </row>
    <row r="4" spans="1:9">
      <c r="A4" t="s">
        <v>19</v>
      </c>
      <c r="B4" t="s">
        <v>17</v>
      </c>
      <c r="C4" t="s">
        <v>59</v>
      </c>
      <c r="D4" s="2">
        <v>25.13</v>
      </c>
      <c r="E4" s="2">
        <v>25.16</v>
      </c>
      <c r="F4" s="2">
        <v>25.43</v>
      </c>
      <c r="G4" s="2">
        <v>25.24</v>
      </c>
      <c r="H4" s="2">
        <v>0.1652271164185832</v>
      </c>
      <c r="I4" s="2">
        <v>0.30000000000000071</v>
      </c>
    </row>
    <row r="5" spans="1:9">
      <c r="A5" t="s">
        <v>19</v>
      </c>
      <c r="B5" t="s">
        <v>17</v>
      </c>
      <c r="C5" t="s">
        <v>60</v>
      </c>
      <c r="D5" s="2">
        <v>26.65</v>
      </c>
      <c r="E5" s="2">
        <v>26.63</v>
      </c>
      <c r="F5" s="2">
        <v>26.05</v>
      </c>
      <c r="G5" s="2">
        <v>26.443333333333332</v>
      </c>
      <c r="H5" s="2">
        <v>0.34078341117685373</v>
      </c>
      <c r="I5" s="2">
        <v>0.59999999999999787</v>
      </c>
    </row>
    <row r="6" spans="1:9">
      <c r="A6" t="s">
        <v>20</v>
      </c>
      <c r="B6" t="s">
        <v>17</v>
      </c>
      <c r="C6" t="s">
        <v>59</v>
      </c>
      <c r="D6" s="2">
        <v>24.59</v>
      </c>
      <c r="E6" s="2">
        <v>24.57</v>
      </c>
      <c r="F6" s="2">
        <v>25.15</v>
      </c>
      <c r="G6" s="2">
        <v>24.77</v>
      </c>
      <c r="H6" s="2">
        <v>0.32924155266308569</v>
      </c>
      <c r="I6" s="2">
        <v>0.57999999999999829</v>
      </c>
    </row>
    <row r="7" spans="1:9">
      <c r="A7" t="s">
        <v>20</v>
      </c>
      <c r="B7" t="s">
        <v>17</v>
      </c>
      <c r="C7" t="s">
        <v>60</v>
      </c>
      <c r="D7" s="2">
        <v>25.97</v>
      </c>
      <c r="E7" s="2">
        <v>25.54</v>
      </c>
      <c r="F7" s="2">
        <v>26.06</v>
      </c>
      <c r="G7" s="2">
        <v>25.856666666666666</v>
      </c>
      <c r="H7" s="2">
        <v>0.27790885796126258</v>
      </c>
      <c r="I7" s="2">
        <v>0.51999999999999957</v>
      </c>
    </row>
    <row r="8" spans="1:9">
      <c r="A8" t="s">
        <v>21</v>
      </c>
      <c r="B8" t="s">
        <v>17</v>
      </c>
      <c r="C8" t="s">
        <v>59</v>
      </c>
      <c r="D8" s="2">
        <v>24.78</v>
      </c>
      <c r="E8" s="2">
        <v>24.74</v>
      </c>
      <c r="F8" s="2">
        <v>24.91</v>
      </c>
      <c r="G8" s="2">
        <v>24.81</v>
      </c>
      <c r="H8" s="2">
        <v>8.8881944173156396E-2</v>
      </c>
      <c r="I8" s="2">
        <v>0.17000000000000171</v>
      </c>
    </row>
    <row r="9" spans="1:9">
      <c r="A9" t="s">
        <v>21</v>
      </c>
      <c r="B9" t="s">
        <v>17</v>
      </c>
      <c r="C9" t="s">
        <v>60</v>
      </c>
      <c r="D9" s="2">
        <v>28.98</v>
      </c>
      <c r="E9" s="2">
        <v>27.75</v>
      </c>
      <c r="F9" s="2">
        <v>27.57</v>
      </c>
      <c r="G9" s="2">
        <v>28.1</v>
      </c>
      <c r="H9" s="2">
        <v>0.76739820171798701</v>
      </c>
      <c r="I9" s="2">
        <v>1.4100000000000001</v>
      </c>
    </row>
    <row r="10" spans="1:9">
      <c r="A10" t="s">
        <v>22</v>
      </c>
      <c r="B10" t="s">
        <v>17</v>
      </c>
      <c r="C10" t="s">
        <v>59</v>
      </c>
      <c r="D10" s="2">
        <v>23.43</v>
      </c>
      <c r="E10" s="2">
        <v>23.45</v>
      </c>
      <c r="F10" s="2">
        <v>24.01</v>
      </c>
      <c r="G10" s="2">
        <v>23.63</v>
      </c>
      <c r="H10" s="2">
        <v>0.32924155266308774</v>
      </c>
      <c r="I10" s="2">
        <v>0.58000000000000185</v>
      </c>
    </row>
    <row r="11" spans="1:9">
      <c r="A11" t="s">
        <v>22</v>
      </c>
      <c r="B11" t="s">
        <v>17</v>
      </c>
      <c r="C11" t="s">
        <v>60</v>
      </c>
      <c r="D11" s="2">
        <v>25.25</v>
      </c>
      <c r="E11" s="2">
        <v>25.22</v>
      </c>
      <c r="F11" s="2">
        <v>25.19</v>
      </c>
      <c r="G11" s="2">
        <v>25.22</v>
      </c>
      <c r="H11" s="2">
        <v>2.9999999999999361E-2</v>
      </c>
      <c r="I11" s="2">
        <v>5.9999999999998721E-2</v>
      </c>
    </row>
    <row r="12" spans="1:9">
      <c r="A12" t="s">
        <v>23</v>
      </c>
      <c r="B12" t="s">
        <v>17</v>
      </c>
      <c r="C12" t="s">
        <v>59</v>
      </c>
      <c r="D12" s="2">
        <v>23.91</v>
      </c>
      <c r="E12" s="2">
        <v>23.79</v>
      </c>
      <c r="F12" s="2">
        <v>23.89</v>
      </c>
      <c r="G12" s="2">
        <v>23.863333333333333</v>
      </c>
      <c r="H12" s="2">
        <v>6.4291005073287028E-2</v>
      </c>
      <c r="I12" s="2">
        <v>0.12000000000000099</v>
      </c>
    </row>
    <row r="13" spans="1:9">
      <c r="A13" t="s">
        <v>23</v>
      </c>
      <c r="B13" t="s">
        <v>17</v>
      </c>
      <c r="C13" t="s">
        <v>60</v>
      </c>
      <c r="D13" s="2">
        <v>24.66</v>
      </c>
      <c r="E13" s="2">
        <v>24.87</v>
      </c>
      <c r="F13" s="2">
        <v>24.74</v>
      </c>
      <c r="G13" s="2">
        <v>24.756666666666668</v>
      </c>
      <c r="H13" s="2">
        <v>0.10598742063723156</v>
      </c>
      <c r="I13" s="2">
        <v>0.21000000000000085</v>
      </c>
    </row>
    <row r="14" spans="1:9">
      <c r="A14" t="s">
        <v>24</v>
      </c>
      <c r="B14" t="s">
        <v>17</v>
      </c>
      <c r="C14" t="s">
        <v>59</v>
      </c>
      <c r="D14" s="2">
        <v>26.99</v>
      </c>
      <c r="E14" s="2">
        <v>26.65</v>
      </c>
      <c r="F14" s="2">
        <v>26.7</v>
      </c>
      <c r="G14" s="2">
        <v>26.779999999999998</v>
      </c>
      <c r="H14" s="2">
        <v>0.18357559750685795</v>
      </c>
      <c r="I14" s="2">
        <v>0.33999999999999986</v>
      </c>
    </row>
    <row r="15" spans="1:9">
      <c r="A15" t="s">
        <v>24</v>
      </c>
      <c r="B15" t="s">
        <v>17</v>
      </c>
      <c r="C15" t="s">
        <v>60</v>
      </c>
      <c r="D15" s="2">
        <v>25.95</v>
      </c>
      <c r="E15" s="2">
        <v>26</v>
      </c>
      <c r="F15" s="2">
        <v>26</v>
      </c>
      <c r="G15" s="2">
        <v>25.983333333333334</v>
      </c>
      <c r="H15" s="2">
        <v>2.88675134594817E-2</v>
      </c>
      <c r="I15" s="2">
        <v>5.0000000000000711E-2</v>
      </c>
    </row>
    <row r="16" spans="1:9">
      <c r="A16" t="s">
        <v>25</v>
      </c>
      <c r="B16" t="s">
        <v>17</v>
      </c>
      <c r="C16" t="s">
        <v>59</v>
      </c>
      <c r="D16" s="2">
        <v>25.36</v>
      </c>
      <c r="E16" s="2">
        <v>25.51</v>
      </c>
      <c r="F16" s="2">
        <v>25.41</v>
      </c>
      <c r="G16" s="2">
        <v>25.426666666666666</v>
      </c>
      <c r="H16" s="2">
        <v>7.6376261582598415E-2</v>
      </c>
      <c r="I16" s="2">
        <v>0.15000000000000213</v>
      </c>
    </row>
    <row r="17" spans="1:9">
      <c r="A17" t="s">
        <v>25</v>
      </c>
      <c r="B17" t="s">
        <v>17</v>
      </c>
      <c r="C17" t="s">
        <v>60</v>
      </c>
      <c r="D17" s="2">
        <v>24.69</v>
      </c>
      <c r="E17" s="2">
        <v>24.94</v>
      </c>
      <c r="F17" s="2">
        <v>25.14</v>
      </c>
      <c r="G17" s="2">
        <v>24.923333333333336</v>
      </c>
      <c r="H17" s="2">
        <v>0.22546248764114438</v>
      </c>
      <c r="I17" s="2">
        <v>0.44999999999999929</v>
      </c>
    </row>
    <row r="18" spans="1:9">
      <c r="A18" t="s">
        <v>26</v>
      </c>
      <c r="B18" t="s">
        <v>17</v>
      </c>
      <c r="C18" t="s">
        <v>59</v>
      </c>
      <c r="D18" s="2">
        <v>26.02</v>
      </c>
      <c r="E18" s="2">
        <v>26.12</v>
      </c>
      <c r="F18" s="2">
        <v>26.39</v>
      </c>
      <c r="G18" s="2">
        <v>26.176666666666666</v>
      </c>
      <c r="H18" s="2">
        <v>0.19139836293274157</v>
      </c>
      <c r="I18" s="2">
        <v>0.37000000000000099</v>
      </c>
    </row>
    <row r="19" spans="1:9">
      <c r="A19" t="s">
        <v>26</v>
      </c>
      <c r="B19" t="s">
        <v>17</v>
      </c>
      <c r="C19" t="s">
        <v>60</v>
      </c>
      <c r="D19" s="2">
        <v>28.04</v>
      </c>
      <c r="E19" s="2">
        <v>28.33</v>
      </c>
      <c r="F19" s="2">
        <v>25.29</v>
      </c>
      <c r="G19" s="2">
        <v>27.22</v>
      </c>
      <c r="H19" s="2">
        <v>1.6777067681808997</v>
      </c>
      <c r="I19" s="2">
        <v>3.0399999999999991</v>
      </c>
    </row>
    <row r="20" spans="1:9">
      <c r="A20" t="s">
        <v>28</v>
      </c>
      <c r="B20" t="s">
        <v>17</v>
      </c>
      <c r="C20" t="s">
        <v>59</v>
      </c>
      <c r="D20" s="2">
        <v>24.09</v>
      </c>
      <c r="E20" s="2">
        <v>23.99</v>
      </c>
      <c r="F20" s="2">
        <v>24.15</v>
      </c>
      <c r="G20" s="2">
        <v>24.076666666666664</v>
      </c>
      <c r="H20" s="2">
        <v>8.0829037686547783E-2</v>
      </c>
      <c r="I20" s="2">
        <v>0.16000000000000014</v>
      </c>
    </row>
    <row r="21" spans="1:9">
      <c r="A21" t="s">
        <v>28</v>
      </c>
      <c r="B21" t="s">
        <v>17</v>
      </c>
      <c r="C21" t="s">
        <v>60</v>
      </c>
      <c r="D21" s="2">
        <v>26.18</v>
      </c>
      <c r="E21" s="2">
        <v>26.48</v>
      </c>
      <c r="F21" s="2">
        <v>26.08</v>
      </c>
      <c r="G21" s="2">
        <v>26.246666666666666</v>
      </c>
      <c r="H21" s="2">
        <v>0.20816659994661424</v>
      </c>
      <c r="I21" s="2">
        <v>0.40000000000000213</v>
      </c>
    </row>
    <row r="22" spans="1:9">
      <c r="A22" t="s">
        <v>29</v>
      </c>
      <c r="B22" t="s">
        <v>17</v>
      </c>
      <c r="C22" t="s">
        <v>59</v>
      </c>
      <c r="D22" s="2">
        <v>24.69</v>
      </c>
      <c r="E22" s="2">
        <v>27.53</v>
      </c>
      <c r="F22" s="2">
        <v>25.73</v>
      </c>
      <c r="G22" s="2">
        <v>25.983333333333334</v>
      </c>
      <c r="H22" s="2">
        <v>1.4368484030451276</v>
      </c>
      <c r="I22" s="2">
        <v>2.84</v>
      </c>
    </row>
    <row r="23" spans="1:9">
      <c r="A23" t="s">
        <v>29</v>
      </c>
      <c r="B23" t="s">
        <v>17</v>
      </c>
      <c r="C23" t="s">
        <v>60</v>
      </c>
      <c r="D23" s="2">
        <v>27.29</v>
      </c>
      <c r="E23" s="2">
        <v>27.31</v>
      </c>
      <c r="F23" s="2">
        <v>26.69</v>
      </c>
      <c r="G23" s="2">
        <v>27.096666666666668</v>
      </c>
      <c r="H23" s="2">
        <v>0.35232560697930032</v>
      </c>
      <c r="I23" s="2">
        <v>0.61999999999999744</v>
      </c>
    </row>
    <row r="24" spans="1:9">
      <c r="A24" t="s">
        <v>30</v>
      </c>
      <c r="B24" t="s">
        <v>17</v>
      </c>
      <c r="C24" t="s">
        <v>59</v>
      </c>
      <c r="D24" s="2">
        <v>24.02</v>
      </c>
      <c r="E24" s="2">
        <v>23.76</v>
      </c>
      <c r="F24" s="2">
        <v>23.86</v>
      </c>
      <c r="G24" s="2">
        <v>23.88</v>
      </c>
      <c r="H24" s="2">
        <v>0.13114877048603912</v>
      </c>
      <c r="I24" s="2">
        <v>0.25999999999999801</v>
      </c>
    </row>
    <row r="25" spans="1:9">
      <c r="A25" t="s">
        <v>30</v>
      </c>
      <c r="B25" t="s">
        <v>17</v>
      </c>
      <c r="C25" t="s">
        <v>60</v>
      </c>
      <c r="D25" s="2">
        <v>27.97</v>
      </c>
      <c r="E25" s="2">
        <v>27.44</v>
      </c>
      <c r="F25" s="2">
        <v>26.95</v>
      </c>
      <c r="G25" s="2">
        <v>27.453333333333333</v>
      </c>
      <c r="H25" s="2">
        <v>0.51013070220614354</v>
      </c>
      <c r="I25" s="2">
        <v>1.0199999999999996</v>
      </c>
    </row>
    <row r="26" spans="1:9">
      <c r="A26" t="s">
        <v>31</v>
      </c>
      <c r="B26" t="s">
        <v>32</v>
      </c>
      <c r="C26" t="s">
        <v>59</v>
      </c>
      <c r="D26" s="2">
        <v>23.67</v>
      </c>
      <c r="E26" s="2">
        <v>24.28</v>
      </c>
      <c r="F26" s="2">
        <v>24.1</v>
      </c>
      <c r="G26" s="2">
        <v>24.016666666666669</v>
      </c>
      <c r="H26" s="2">
        <v>0.31342197327777316</v>
      </c>
      <c r="I26" s="2">
        <v>0.60999999999999943</v>
      </c>
    </row>
    <row r="27" spans="1:9">
      <c r="A27" t="s">
        <v>31</v>
      </c>
      <c r="B27" t="s">
        <v>32</v>
      </c>
      <c r="C27" t="s">
        <v>60</v>
      </c>
      <c r="D27" s="2">
        <v>23.07</v>
      </c>
      <c r="E27" s="2">
        <v>22.77</v>
      </c>
      <c r="F27" s="2">
        <v>23.32</v>
      </c>
      <c r="G27" s="2">
        <v>23.053333333333335</v>
      </c>
      <c r="H27" s="2">
        <v>0.27537852736430546</v>
      </c>
      <c r="I27" s="2">
        <v>0.55000000000000071</v>
      </c>
    </row>
    <row r="28" spans="1:9">
      <c r="A28" t="s">
        <v>33</v>
      </c>
      <c r="B28" t="s">
        <v>32</v>
      </c>
      <c r="C28" t="s">
        <v>59</v>
      </c>
      <c r="D28" s="2">
        <v>25.33</v>
      </c>
      <c r="E28" s="2">
        <v>25.12</v>
      </c>
      <c r="F28" s="2">
        <v>24.8</v>
      </c>
      <c r="G28" s="2">
        <v>25.083333333333332</v>
      </c>
      <c r="H28" s="2">
        <v>0.26689573494781205</v>
      </c>
      <c r="I28" s="2">
        <v>0.52999999999999758</v>
      </c>
    </row>
    <row r="29" spans="1:9">
      <c r="A29" t="s">
        <v>33</v>
      </c>
      <c r="B29" t="s">
        <v>32</v>
      </c>
      <c r="C29" t="s">
        <v>60</v>
      </c>
      <c r="D29" s="2">
        <v>22.24</v>
      </c>
      <c r="E29" s="2">
        <v>22.16</v>
      </c>
      <c r="F29" s="2">
        <v>22.19</v>
      </c>
      <c r="G29" s="2">
        <v>22.196666666666665</v>
      </c>
      <c r="H29" s="2">
        <v>4.0414518843272795E-2</v>
      </c>
      <c r="I29" s="2">
        <v>7.9999999999998295E-2</v>
      </c>
    </row>
    <row r="30" spans="1:9">
      <c r="A30" t="s">
        <v>34</v>
      </c>
      <c r="B30" t="s">
        <v>32</v>
      </c>
      <c r="C30" t="s">
        <v>59</v>
      </c>
      <c r="D30" s="2">
        <v>24.52</v>
      </c>
      <c r="E30" s="2">
        <v>24.49</v>
      </c>
      <c r="F30" s="2">
        <v>24.48</v>
      </c>
      <c r="G30" s="2">
        <v>24.496666666666666</v>
      </c>
      <c r="H30" s="2">
        <v>2.0816659994661167E-2</v>
      </c>
      <c r="I30" s="2">
        <v>3.9999999999999147E-2</v>
      </c>
    </row>
    <row r="31" spans="1:9">
      <c r="A31" t="s">
        <v>34</v>
      </c>
      <c r="B31" t="s">
        <v>32</v>
      </c>
      <c r="C31" t="s">
        <v>60</v>
      </c>
      <c r="D31" s="2">
        <v>22.87</v>
      </c>
      <c r="E31" s="2">
        <v>22.92</v>
      </c>
      <c r="F31" s="2">
        <v>22.76</v>
      </c>
      <c r="G31" s="2">
        <v>22.85</v>
      </c>
      <c r="H31" s="2">
        <v>8.1853527718724492E-2</v>
      </c>
      <c r="I31" s="2">
        <v>0.16000000000000014</v>
      </c>
    </row>
    <row r="32" spans="1:9">
      <c r="A32" t="s">
        <v>35</v>
      </c>
      <c r="B32" t="s">
        <v>32</v>
      </c>
      <c r="C32" t="s">
        <v>59</v>
      </c>
      <c r="D32" s="2">
        <v>23.19</v>
      </c>
      <c r="E32" s="2">
        <v>23.28</v>
      </c>
      <c r="F32" s="2">
        <v>23.33</v>
      </c>
      <c r="G32" s="2">
        <v>23.266666666666666</v>
      </c>
      <c r="H32" s="2">
        <v>7.0945988845974528E-2</v>
      </c>
      <c r="I32" s="2">
        <v>0.13999999999999702</v>
      </c>
    </row>
    <row r="33" spans="1:9">
      <c r="A33" t="s">
        <v>35</v>
      </c>
      <c r="B33" t="s">
        <v>32</v>
      </c>
      <c r="C33" t="s">
        <v>60</v>
      </c>
      <c r="D33" s="2">
        <v>23.16</v>
      </c>
      <c r="E33" s="2">
        <v>23.21</v>
      </c>
      <c r="F33" s="2">
        <v>23.25</v>
      </c>
      <c r="G33" s="2">
        <v>23.206666666666667</v>
      </c>
      <c r="H33" s="2">
        <v>4.50924975282289E-2</v>
      </c>
      <c r="I33" s="2">
        <v>8.9999999999999858E-2</v>
      </c>
    </row>
    <row r="34" spans="1:9">
      <c r="A34" t="s">
        <v>36</v>
      </c>
      <c r="B34" t="s">
        <v>32</v>
      </c>
      <c r="C34" t="s">
        <v>59</v>
      </c>
      <c r="D34" s="2">
        <v>23.5</v>
      </c>
      <c r="E34" s="2">
        <v>23.48</v>
      </c>
      <c r="F34" s="2">
        <v>23.75</v>
      </c>
      <c r="G34" s="2">
        <v>23.576666666666668</v>
      </c>
      <c r="H34" s="2">
        <v>0.15044378795195665</v>
      </c>
      <c r="I34" s="2">
        <v>0.26999999999999957</v>
      </c>
    </row>
    <row r="35" spans="1:9">
      <c r="A35" t="s">
        <v>36</v>
      </c>
      <c r="B35" t="s">
        <v>32</v>
      </c>
      <c r="C35" t="s">
        <v>60</v>
      </c>
      <c r="D35" s="2">
        <v>23.32</v>
      </c>
      <c r="E35" s="2">
        <v>23.37</v>
      </c>
      <c r="F35" s="2">
        <v>23.44</v>
      </c>
      <c r="G35" s="2">
        <v>23.376666666666669</v>
      </c>
      <c r="H35" s="2">
        <v>6.0277137733417564E-2</v>
      </c>
      <c r="I35" s="2">
        <v>0.12000000000000099</v>
      </c>
    </row>
    <row r="36" spans="1:9">
      <c r="A36" t="s">
        <v>37</v>
      </c>
      <c r="B36" t="s">
        <v>32</v>
      </c>
      <c r="C36" t="s">
        <v>59</v>
      </c>
      <c r="D36" s="2">
        <v>24.44</v>
      </c>
      <c r="E36" s="2">
        <v>24.53</v>
      </c>
      <c r="F36" s="2">
        <v>24.46</v>
      </c>
      <c r="G36" s="2">
        <v>24.476666666666667</v>
      </c>
      <c r="H36" s="2">
        <v>4.725815626252608E-2</v>
      </c>
      <c r="I36" s="2">
        <v>8.9999999999999858E-2</v>
      </c>
    </row>
    <row r="37" spans="1:9">
      <c r="A37" t="s">
        <v>37</v>
      </c>
      <c r="B37" t="s">
        <v>32</v>
      </c>
      <c r="C37" t="s">
        <v>60</v>
      </c>
      <c r="D37" s="2">
        <v>23.2</v>
      </c>
      <c r="E37" s="2">
        <v>23.35</v>
      </c>
      <c r="F37" s="2">
        <v>23.21</v>
      </c>
      <c r="G37" s="2">
        <v>23.253333333333334</v>
      </c>
      <c r="H37" s="2">
        <v>8.3864970836061647E-2</v>
      </c>
      <c r="I37" s="2">
        <v>0.15000000000000213</v>
      </c>
    </row>
    <row r="38" spans="1:9">
      <c r="A38" t="s">
        <v>38</v>
      </c>
      <c r="B38" t="s">
        <v>32</v>
      </c>
      <c r="C38" t="s">
        <v>59</v>
      </c>
      <c r="D38" s="2">
        <v>26.28</v>
      </c>
      <c r="E38" s="2">
        <v>27.65</v>
      </c>
      <c r="F38" s="2">
        <v>27.45</v>
      </c>
      <c r="G38" s="2">
        <v>27.126666666666665</v>
      </c>
      <c r="H38" s="2">
        <v>0.7400225221797857</v>
      </c>
      <c r="I38" s="2">
        <v>1.3699999999999974</v>
      </c>
    </row>
    <row r="39" spans="1:9">
      <c r="A39" t="s">
        <v>38</v>
      </c>
      <c r="B39" t="s">
        <v>32</v>
      </c>
      <c r="C39" t="s">
        <v>60</v>
      </c>
      <c r="D39" s="2">
        <v>27.09</v>
      </c>
      <c r="E39" s="2">
        <v>26.76</v>
      </c>
      <c r="F39" s="2">
        <v>27.33</v>
      </c>
      <c r="G39" s="2">
        <v>27.06</v>
      </c>
      <c r="H39" s="2">
        <v>0.28618176042508209</v>
      </c>
      <c r="I39" s="2">
        <v>0.56999999999999673</v>
      </c>
    </row>
    <row r="40" spans="1:9">
      <c r="A40" t="s">
        <v>39</v>
      </c>
      <c r="B40" t="s">
        <v>32</v>
      </c>
      <c r="C40" t="s">
        <v>59</v>
      </c>
      <c r="D40" s="2">
        <v>24.13</v>
      </c>
      <c r="E40" s="2">
        <v>23.98</v>
      </c>
      <c r="F40" s="2">
        <v>24.17</v>
      </c>
      <c r="G40" s="2">
        <v>24.093333333333334</v>
      </c>
      <c r="H40" s="2">
        <v>0.10016652800877836</v>
      </c>
      <c r="I40" s="2">
        <v>0.19000000000000128</v>
      </c>
    </row>
    <row r="41" spans="1:9">
      <c r="A41" t="s">
        <v>39</v>
      </c>
      <c r="B41" t="s">
        <v>32</v>
      </c>
      <c r="C41" t="s">
        <v>60</v>
      </c>
      <c r="D41" s="2">
        <v>23.02</v>
      </c>
      <c r="E41" s="2">
        <v>23.05</v>
      </c>
      <c r="F41" s="2">
        <v>22.89</v>
      </c>
      <c r="G41" s="2">
        <v>22.986666666666668</v>
      </c>
      <c r="H41" s="2">
        <v>8.5049005481153683E-2</v>
      </c>
      <c r="I41" s="2">
        <v>0.16000000000000014</v>
      </c>
    </row>
    <row r="42" spans="1:9">
      <c r="A42" t="s">
        <v>40</v>
      </c>
      <c r="B42" t="s">
        <v>32</v>
      </c>
      <c r="C42" t="s">
        <v>59</v>
      </c>
      <c r="D42" s="2">
        <v>24.15</v>
      </c>
      <c r="E42" s="2">
        <v>24.3</v>
      </c>
      <c r="F42" s="2">
        <v>25.52</v>
      </c>
      <c r="G42" s="2">
        <v>24.656666666666666</v>
      </c>
      <c r="H42" s="2">
        <v>0.75142087629592336</v>
      </c>
      <c r="I42" s="2">
        <v>1.370000000000001</v>
      </c>
    </row>
    <row r="43" spans="1:9">
      <c r="A43" t="s">
        <v>40</v>
      </c>
      <c r="B43" t="s">
        <v>32</v>
      </c>
      <c r="C43" t="s">
        <v>60</v>
      </c>
      <c r="D43" s="2">
        <v>24.47</v>
      </c>
      <c r="E43" s="2">
        <v>24.47</v>
      </c>
      <c r="F43" s="2">
        <v>24.43</v>
      </c>
      <c r="G43" s="2">
        <v>24.456666666666667</v>
      </c>
      <c r="H43" s="2">
        <v>2.3094010767584539E-2</v>
      </c>
      <c r="I43" s="2">
        <v>3.9999999999999147E-2</v>
      </c>
    </row>
    <row r="44" spans="1:9">
      <c r="A44" t="s">
        <v>41</v>
      </c>
      <c r="B44" t="s">
        <v>32</v>
      </c>
      <c r="C44" t="s">
        <v>59</v>
      </c>
      <c r="D44" s="2">
        <v>23.55</v>
      </c>
      <c r="E44" s="2">
        <v>23.46</v>
      </c>
      <c r="F44" s="2">
        <v>23.66</v>
      </c>
      <c r="G44" s="2">
        <v>23.556666666666668</v>
      </c>
      <c r="H44" s="2">
        <v>0.10016652800877776</v>
      </c>
      <c r="I44" s="2">
        <v>0.19999999999999929</v>
      </c>
    </row>
    <row r="45" spans="1:9">
      <c r="A45" t="s">
        <v>41</v>
      </c>
      <c r="B45" t="s">
        <v>32</v>
      </c>
      <c r="C45" t="s">
        <v>60</v>
      </c>
      <c r="D45" s="2">
        <v>24.02</v>
      </c>
      <c r="E45" s="2">
        <v>23.98</v>
      </c>
      <c r="F45" s="2">
        <v>23.92</v>
      </c>
      <c r="G45" s="2">
        <v>23.973333333333333</v>
      </c>
      <c r="H45" s="2">
        <v>5.0332229568470589E-2</v>
      </c>
      <c r="I45" s="2">
        <v>9.9999999999997868E-2</v>
      </c>
    </row>
    <row r="46" spans="1:9">
      <c r="A46" t="s">
        <v>42</v>
      </c>
      <c r="B46" t="s">
        <v>32</v>
      </c>
      <c r="C46" t="s">
        <v>59</v>
      </c>
      <c r="D46" s="2">
        <v>23.78</v>
      </c>
      <c r="E46" s="2">
        <v>23.58</v>
      </c>
      <c r="F46" s="2">
        <v>23.54</v>
      </c>
      <c r="G46" s="2">
        <v>23.633333333333333</v>
      </c>
      <c r="H46" s="2">
        <v>0.12858201014657406</v>
      </c>
      <c r="I46" s="2">
        <v>0.24000000000000199</v>
      </c>
    </row>
    <row r="47" spans="1:9">
      <c r="A47" t="s">
        <v>42</v>
      </c>
      <c r="B47" t="s">
        <v>32</v>
      </c>
      <c r="C47" t="s">
        <v>60</v>
      </c>
      <c r="D47" s="2">
        <v>22.69</v>
      </c>
      <c r="E47" s="2">
        <v>22.75</v>
      </c>
      <c r="F47" s="2">
        <v>22.78</v>
      </c>
      <c r="G47" s="2">
        <v>22.740000000000002</v>
      </c>
      <c r="H47" s="2">
        <v>4.5825756949558198E-2</v>
      </c>
      <c r="I47" s="2">
        <v>8.9999999999999858E-2</v>
      </c>
    </row>
    <row r="48" spans="1:9">
      <c r="A48" t="s">
        <v>43</v>
      </c>
      <c r="B48" t="s">
        <v>32</v>
      </c>
      <c r="C48" t="s">
        <v>59</v>
      </c>
      <c r="D48" s="2">
        <v>23.72</v>
      </c>
      <c r="E48" s="2">
        <v>23.51</v>
      </c>
      <c r="F48" s="2">
        <v>23.51</v>
      </c>
      <c r="G48" s="2">
        <v>23.580000000000002</v>
      </c>
      <c r="H48" s="2">
        <v>0.12124355652981986</v>
      </c>
      <c r="I48" s="2">
        <v>0.2099999999999973</v>
      </c>
    </row>
    <row r="49" spans="1:9">
      <c r="A49" t="s">
        <v>43</v>
      </c>
      <c r="B49" t="s">
        <v>32</v>
      </c>
      <c r="C49" t="s">
        <v>60</v>
      </c>
      <c r="D49" s="2">
        <v>25.84</v>
      </c>
      <c r="E49" s="2">
        <v>25.83</v>
      </c>
      <c r="F49" s="2">
        <v>25.74</v>
      </c>
      <c r="G49" s="2">
        <v>25.803333333333331</v>
      </c>
      <c r="H49" s="2">
        <v>5.5075705472861461E-2</v>
      </c>
      <c r="I49" s="2">
        <v>0.10000000000000142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3.8"/>
  <cols>
    <col min="1" max="1" width="24" customWidth="1"/>
    <col min="2" max="2" width="55" customWidth="1"/>
  </cols>
  <sheetData>
    <row r="1" spans="1:2">
      <c r="A1" s="3" t="s">
        <v>61</v>
      </c>
      <c r="B1" s="4" t="s">
        <v>62</v>
      </c>
    </row>
    <row r="2" spans="1:2">
      <c r="A2" s="3" t="s">
        <v>63</v>
      </c>
      <c r="B2" s="4" t="s">
        <v>64</v>
      </c>
    </row>
    <row r="3" spans="1:2">
      <c r="A3" s="3" t="s">
        <v>65</v>
      </c>
      <c r="B3" s="4" t="s">
        <v>59</v>
      </c>
    </row>
    <row r="4" spans="1:2">
      <c r="A4" s="3" t="s">
        <v>66</v>
      </c>
      <c r="B4" s="4" t="s">
        <v>60</v>
      </c>
    </row>
    <row r="5" spans="1:2">
      <c r="A5" s="3" t="s">
        <v>67</v>
      </c>
      <c r="B5" s="4" t="s">
        <v>68</v>
      </c>
    </row>
    <row r="6" spans="1:2">
      <c r="A6" s="3" t="s">
        <v>69</v>
      </c>
      <c r="B6" s="4" t="s">
        <v>70</v>
      </c>
    </row>
    <row r="7" spans="1:2">
      <c r="A7" s="3" t="s">
        <v>71</v>
      </c>
      <c r="B7" s="4" t="s">
        <v>72</v>
      </c>
    </row>
    <row r="8" spans="1:2">
      <c r="A8" s="3" t="s">
        <v>73</v>
      </c>
      <c r="B8" s="4" t="s">
        <v>74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S1_Individual_qPCR</vt:lpstr>
      <vt:lpstr>Summary</vt:lpstr>
      <vt:lpstr>S2_Technical_QC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Von Hoo</cp:lastModifiedBy>
  <dcterms:modified xsi:type="dcterms:W3CDTF">2026-09-30T22:06:34Z</dcterms:modified>
</cp:coreProperties>
</file>